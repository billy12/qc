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udget Detail" sheetId="2" state="visible" r:id="rId2"/>
    <sheet xmlns:r="http://schemas.openxmlformats.org/officeDocument/2006/relationships" name="Sources" sheetId="3" state="visible" r:id="rId3"/>
  </sheets>
  <definedNames/>
  <calcPr calcId="124519" fullCalcOnLoad="1"/>
</workbook>
</file>

<file path=xl/styles.xml><?xml version="1.0" encoding="utf-8"?>
<styleSheet xmlns="http://schemas.openxmlformats.org/spreadsheetml/2006/main">
  <numFmts count="2">
    <numFmt numFmtId="164" formatCode="&quot;$&quot;#,##0.00"/>
    <numFmt numFmtId="165" formatCode="&quot;$&quot;#,##0.00;(&quot;$&quot;#,##0.00)"/>
  </numFmts>
  <fonts count="15">
    <font>
      <name val="Calibri"/>
      <family val="2"/>
      <color theme="1"/>
      <sz val="11"/>
      <scheme val="minor"/>
    </font>
    <font>
      <b val="1"/>
      <color rgb="00FFFFFF"/>
      <sz val="18"/>
    </font>
    <font>
      <i val="1"/>
      <color rgb="00666666"/>
      <sz val="9"/>
    </font>
    <font>
      <b val="1"/>
      <color rgb="00FFFFFF"/>
      <sz val="11"/>
    </font>
    <font>
      <b val="1"/>
      <color rgb="002B2B2B"/>
      <sz val="10"/>
    </font>
    <font>
      <color rgb="00000000"/>
    </font>
    <font>
      <b val="1"/>
    </font>
    <font>
      <b val="1"/>
      <color rgb="00000000"/>
    </font>
    <font>
      <b val="1"/>
      <sz val="12"/>
    </font>
    <font>
      <b val="1"/>
      <color rgb="00000000"/>
      <sz val="12"/>
    </font>
    <font>
      <color rgb="00C00000"/>
    </font>
    <font>
      <b val="1"/>
      <color rgb="00C00000"/>
    </font>
    <font>
      <b val="1"/>
      <color rgb="00C00000"/>
      <sz val="12"/>
    </font>
    <font>
      <b val="1"/>
      <color rgb="00FFFFFF"/>
      <sz val="12"/>
    </font>
    <font>
      <b val="1"/>
      <color rgb="00FFFFFF"/>
    </font>
  </fonts>
  <fills count="6">
    <fill>
      <patternFill/>
    </fill>
    <fill>
      <patternFill patternType="gray125"/>
    </fill>
    <fill>
      <patternFill patternType="solid">
        <fgColor rgb="001A5C38"/>
      </patternFill>
    </fill>
    <fill>
      <patternFill patternType="solid">
        <fgColor rgb="00F4F4F4"/>
      </patternFill>
    </fill>
    <fill>
      <patternFill patternType="solid">
        <fgColor rgb="00D4A017"/>
      </patternFill>
    </fill>
    <fill>
      <patternFill patternType="solid">
        <fgColor rgb="002B2B2B"/>
      </patternFill>
    </fill>
  </fills>
  <borders count="3">
    <border>
      <left/>
      <right/>
      <top/>
      <bottom/>
      <diagonal/>
    </border>
    <border>
      <left style="thin">
        <color rgb="00B7B7B7"/>
      </left>
      <right style="thin">
        <color rgb="00B7B7B7"/>
      </right>
      <top style="thin">
        <color rgb="00B7B7B7"/>
      </top>
      <bottom style="thin">
        <color rgb="00B7B7B7"/>
      </bottom>
    </border>
    <border>
      <top style="thin"/>
      <bottom style="double"/>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14" fillId="5" borderId="1" applyAlignment="1" pivotButton="0" quotePrefix="0" xfId="0">
      <alignment horizontal="center" vertical="center"/>
    </xf>
    <xf numFmtId="0" fontId="6" fillId="0" borderId="0" pivotButton="0" quotePrefix="0" xfId="0"/>
    <xf numFmtId="165" fontId="5" fillId="0" borderId="1" pivotButton="0" quotePrefix="0" xfId="0"/>
    <xf numFmtId="165" fontId="10" fillId="0" borderId="1" pivotButton="0" quotePrefix="0" xfId="0"/>
    <xf numFmtId="0" fontId="8" fillId="4" borderId="0" pivotButton="0" quotePrefix="0" xfId="0"/>
    <xf numFmtId="165" fontId="8" fillId="4" borderId="1" pivotButton="0" quotePrefix="0" xfId="0"/>
    <xf numFmtId="0" fontId="8" fillId="0" borderId="0" pivotButton="0" quotePrefix="0" xfId="0"/>
    <xf numFmtId="0" fontId="6" fillId="3" borderId="1" pivotButton="0" quotePrefix="0" xfId="0"/>
    <xf numFmtId="164" fontId="5" fillId="0" borderId="1" pivotButton="0" quotePrefix="0" xfId="0"/>
    <xf numFmtId="164" fontId="10" fillId="0" borderId="1" pivotButton="0" quotePrefix="0" xfId="0"/>
    <xf numFmtId="0" fontId="2" fillId="0" borderId="0" applyAlignment="1" pivotButton="0" quotePrefix="0" xfId="0">
      <alignment vertical="top" wrapText="1"/>
    </xf>
    <xf numFmtId="0" fontId="3" fillId="2" borderId="0" pivotButton="0" quotePrefix="0" xfId="0"/>
    <xf numFmtId="0" fontId="4" fillId="3"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165" fontId="7" fillId="0" borderId="2" pivotButton="0" quotePrefix="0" xfId="0"/>
    <xf numFmtId="0" fontId="0" fillId="4" borderId="0" pivotButton="0" quotePrefix="0" xfId="0"/>
    <xf numFmtId="165" fontId="9" fillId="4" borderId="1" pivotButton="0" quotePrefix="0" xfId="0"/>
    <xf numFmtId="165" fontId="11" fillId="0" borderId="2" pivotButton="0" quotePrefix="0" xfId="0"/>
    <xf numFmtId="165" fontId="12" fillId="4" borderId="1" pivotButton="0" quotePrefix="0" xfId="0"/>
    <xf numFmtId="0" fontId="13" fillId="5" borderId="0" pivotButton="0" quotePrefix="0" xfId="0"/>
    <xf numFmtId="0" fontId="0" fillId="5" borderId="0" pivotButton="0" quotePrefix="0" xfId="0"/>
    <xf numFmtId="165" fontId="1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8" customWidth="1" min="2" max="2"/>
    <col width="18" customWidth="1" min="3" max="3"/>
    <col width="18" customWidth="1" min="4" max="4"/>
  </cols>
  <sheetData>
    <row r="1" ht="28" customHeight="1">
      <c r="A1" s="1" t="inlineStr">
        <is>
          <t>Spring into Queen Creek — Budget Summary</t>
        </is>
      </c>
    </row>
    <row r="2">
      <c r="A2" s="2" t="inlineStr">
        <is>
          <t>Frontier Family Park  |  4-hour event  |  ~3,500 attendees  |  Revenue in black, Expenses in red</t>
        </is>
      </c>
    </row>
    <row r="4">
      <c r="A4" s="3" t="inlineStr"/>
      <c r="B4" s="3" t="inlineStr">
        <is>
          <t>Estimated</t>
        </is>
      </c>
      <c r="C4" s="3" t="inlineStr">
        <is>
          <t>Actual</t>
        </is>
      </c>
      <c r="D4" s="3" t="inlineStr">
        <is>
          <t>Variance</t>
        </is>
      </c>
    </row>
    <row r="5">
      <c r="A5" s="4" t="inlineStr">
        <is>
          <t>Total Revenue</t>
        </is>
      </c>
      <c r="B5" s="5">
        <f>'Budget Detail'!C44</f>
        <v/>
      </c>
      <c r="C5" s="5">
        <f>'Budget Detail'!D44</f>
        <v/>
      </c>
      <c r="D5" s="5">
        <f>'Budget Detail'!E44</f>
        <v/>
      </c>
    </row>
    <row r="6">
      <c r="A6" s="4" t="inlineStr">
        <is>
          <t>Total Expenses</t>
        </is>
      </c>
      <c r="B6" s="6">
        <f>'Budget Detail'!C108</f>
        <v/>
      </c>
      <c r="C6" s="6">
        <f>'Budget Detail'!D108</f>
        <v/>
      </c>
      <c r="D6" s="6">
        <f>'Budget Detail'!E108</f>
        <v/>
      </c>
    </row>
    <row r="7">
      <c r="A7" s="7" t="inlineStr">
        <is>
          <t>Over / (Under) — Budget Impact</t>
        </is>
      </c>
      <c r="B7" s="8">
        <f>'Budget Detail'!C110</f>
        <v/>
      </c>
      <c r="C7" s="8">
        <f>'Budget Detail'!D110</f>
        <v/>
      </c>
      <c r="D7" s="8">
        <f>'Budget Detail'!E110</f>
        <v/>
      </c>
    </row>
    <row r="10">
      <c r="A10" s="9" t="inlineStr">
        <is>
          <t>Category Breakdown</t>
        </is>
      </c>
    </row>
    <row r="11">
      <c r="A11" s="10" t="inlineStr">
        <is>
          <t>Category</t>
        </is>
      </c>
      <c r="B11" s="10" t="inlineStr">
        <is>
          <t>Estimated</t>
        </is>
      </c>
      <c r="C11" s="10" t="inlineStr">
        <is>
          <t>Actual</t>
        </is>
      </c>
      <c r="D11" s="10" t="inlineStr">
        <is>
          <t>Variance</t>
        </is>
      </c>
    </row>
    <row r="12">
      <c r="A12" t="inlineStr">
        <is>
          <t>Revenue — Transfer In</t>
        </is>
      </c>
      <c r="B12" s="11">
        <f>'Budget Detail'!C7</f>
        <v/>
      </c>
      <c r="C12" s="11">
        <f>'Budget Detail'!D7</f>
        <v/>
      </c>
      <c r="D12" s="11">
        <f>'Budget Detail'!E7</f>
        <v/>
      </c>
    </row>
    <row r="13">
      <c r="A13" t="inlineStr">
        <is>
          <t>Revenue — Sponsorships</t>
        </is>
      </c>
      <c r="B13" s="11">
        <f>'Budget Detail'!C18</f>
        <v/>
      </c>
      <c r="C13" s="11">
        <f>'Budget Detail'!D18</f>
        <v/>
      </c>
      <c r="D13" s="11">
        <f>'Budget Detail'!E18</f>
        <v/>
      </c>
    </row>
    <row r="14">
      <c r="A14" t="inlineStr">
        <is>
          <t>Revenue — Food Vendors</t>
        </is>
      </c>
      <c r="B14" s="11">
        <f>'Budget Detail'!C36</f>
        <v/>
      </c>
      <c r="C14" s="11">
        <f>'Budget Detail'!D36</f>
        <v/>
      </c>
      <c r="D14" s="11">
        <f>'Budget Detail'!E36</f>
        <v/>
      </c>
    </row>
    <row r="15">
      <c r="A15" t="inlineStr">
        <is>
          <t>Revenue — Non-Profits</t>
        </is>
      </c>
      <c r="B15" s="11">
        <f>'Budget Detail'!C42</f>
        <v/>
      </c>
      <c r="C15" s="11">
        <f>'Budget Detail'!D42</f>
        <v/>
      </c>
      <c r="D15" s="11">
        <f>'Budget Detail'!E42</f>
        <v/>
      </c>
    </row>
    <row r="16">
      <c r="A16" t="inlineStr">
        <is>
          <t>Expenses — Labor Distribution</t>
        </is>
      </c>
      <c r="B16" s="12">
        <f>'Budget Detail'!C54</f>
        <v/>
      </c>
      <c r="C16" s="12">
        <f>'Budget Detail'!D54</f>
        <v/>
      </c>
      <c r="D16" s="12">
        <f>'Budget Detail'!E54</f>
        <v/>
      </c>
    </row>
    <row r="17">
      <c r="A17" t="inlineStr">
        <is>
          <t>Expenses — Equipment/Supplies</t>
        </is>
      </c>
      <c r="B17" s="12">
        <f>'Budget Detail'!C59</f>
        <v/>
      </c>
      <c r="C17" s="12">
        <f>'Budget Detail'!D59</f>
        <v/>
      </c>
      <c r="D17" s="12">
        <f>'Budget Detail'!E59</f>
        <v/>
      </c>
    </row>
    <row r="18">
      <c r="A18" t="inlineStr">
        <is>
          <t>Expenses — Entertainment/Activities</t>
        </is>
      </c>
      <c r="B18" s="12">
        <f>'Budget Detail'!C73</f>
        <v/>
      </c>
      <c r="C18" s="12">
        <f>'Budget Detail'!D73</f>
        <v/>
      </c>
      <c r="D18" s="12">
        <f>'Budget Detail'!E73</f>
        <v/>
      </c>
    </row>
    <row r="19">
      <c r="A19" t="inlineStr">
        <is>
          <t>Expenses — Marketing</t>
        </is>
      </c>
      <c r="B19" s="12">
        <f>'Budget Detail'!C85</f>
        <v/>
      </c>
      <c r="C19" s="12">
        <f>'Budget Detail'!D85</f>
        <v/>
      </c>
      <c r="D19" s="12">
        <f>'Budget Detail'!E85</f>
        <v/>
      </c>
    </row>
    <row r="20">
      <c r="A20" t="inlineStr">
        <is>
          <t>Expenses — Logistics</t>
        </is>
      </c>
      <c r="B20" s="12">
        <f>'Budget Detail'!C97</f>
        <v/>
      </c>
      <c r="C20" s="12">
        <f>'Budget Detail'!D97</f>
        <v/>
      </c>
      <c r="D20" s="12">
        <f>'Budget Detail'!E97</f>
        <v/>
      </c>
    </row>
    <row r="21">
      <c r="A21" t="inlineStr">
        <is>
          <t>Expenses — Misc.</t>
        </is>
      </c>
      <c r="B21" s="12">
        <f>'Budget Detail'!C106</f>
        <v/>
      </c>
      <c r="C21" s="12">
        <f>'Budget Detail'!D106</f>
        <v/>
      </c>
      <c r="D21" s="12">
        <f>'Budget Detail'!E106</f>
        <v/>
      </c>
    </row>
    <row r="23" ht="45" customHeight="1">
      <c r="A23" s="13" t="inlineStr">
        <is>
          <t>All figures on both sheets are live formulas referencing Budget Detail — edit any Est./Actual cell there and every subtotal, total, and this Summary sheet recalculate automatically. See the Sources tab for what's independently sourced vs. a planning estimate.</t>
        </is>
      </c>
    </row>
    <row r="24"/>
    <row r="25"/>
  </sheetData>
  <mergeCells count="3">
    <mergeCell ref="A1:D1"/>
    <mergeCell ref="A23:D25"/>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2"/>
  <sheetViews>
    <sheetView workbookViewId="0">
      <pane ySplit="4" topLeftCell="A5" activePane="bottomLeft" state="frozen"/>
      <selection pane="bottomLeft" activeCell="A1" sqref="A1"/>
    </sheetView>
  </sheetViews>
  <sheetFormatPr baseColWidth="8" defaultRowHeight="15"/>
  <cols>
    <col width="60" customWidth="1" min="1" max="1"/>
    <col width="50" customWidth="1" min="2" max="2"/>
    <col width="28" customWidth="1" min="3" max="3"/>
    <col width="28" customWidth="1" min="4" max="4"/>
    <col width="28" customWidth="1" min="5" max="5"/>
  </cols>
  <sheetData>
    <row r="1" ht="28" customHeight="1">
      <c r="A1" s="1" t="inlineStr">
        <is>
          <t>Spring into Queen Creek — Staffing &amp; Budget</t>
        </is>
      </c>
    </row>
    <row r="2">
      <c r="A2" s="2" t="inlineStr">
        <is>
          <t>Frontier Family Park, Queen Creek, AZ  |  4-hour event, ~3,500 attendees  |  Revenue in black, Expenses in red  |  see the Sources tab for citations</t>
        </is>
      </c>
    </row>
    <row r="3"/>
    <row r="4">
      <c r="A4" s="14" t="inlineStr">
        <is>
          <t>REVENUE — Transfer In</t>
        </is>
      </c>
    </row>
    <row r="5">
      <c r="A5" s="15" t="inlineStr">
        <is>
          <t>Line Item</t>
        </is>
      </c>
      <c r="B5" s="15" t="inlineStr">
        <is>
          <t>Description</t>
        </is>
      </c>
      <c r="C5" s="15" t="inlineStr">
        <is>
          <t>Est. Amount</t>
        </is>
      </c>
      <c r="D5" s="15" t="inlineStr">
        <is>
          <t>Actual Amount</t>
        </is>
      </c>
      <c r="E5" s="15" t="inlineStr">
        <is>
          <t>Variance</t>
        </is>
      </c>
    </row>
    <row r="6">
      <c r="A6" s="16" t="inlineStr">
        <is>
          <t>Prior Year Carryover</t>
        </is>
      </c>
      <c r="B6" s="17" t="inlineStr">
        <is>
          <t>No carryover budgeted for this cycle</t>
        </is>
      </c>
      <c r="C6" s="11" t="n">
        <v>0</v>
      </c>
      <c r="D6" s="11" t="n">
        <v>0</v>
      </c>
      <c r="E6" s="5">
        <f>D6-C6</f>
        <v/>
      </c>
    </row>
    <row r="7">
      <c r="A7" s="4" t="inlineStr">
        <is>
          <t>Transfer In Subtotal</t>
        </is>
      </c>
      <c r="C7" s="18">
        <f>SUM(C6:C6)</f>
        <v/>
      </c>
      <c r="D7" s="18">
        <f>SUM(D6:D6)</f>
        <v/>
      </c>
      <c r="E7" s="18">
        <f>SUM(E6:E6)</f>
        <v/>
      </c>
    </row>
    <row r="8"/>
    <row r="9">
      <c r="A9" s="14" t="inlineStr">
        <is>
          <t>REVENUE — Sponsorships</t>
        </is>
      </c>
    </row>
    <row r="10">
      <c r="A10" s="15" t="inlineStr">
        <is>
          <t>Line Item</t>
        </is>
      </c>
      <c r="B10" s="15" t="inlineStr">
        <is>
          <t>Description</t>
        </is>
      </c>
      <c r="C10" s="15" t="inlineStr">
        <is>
          <t>Est. Amount</t>
        </is>
      </c>
      <c r="D10" s="15" t="inlineStr">
        <is>
          <t>Actual Amount</t>
        </is>
      </c>
      <c r="E10" s="15" t="inlineStr">
        <is>
          <t>Variance</t>
        </is>
      </c>
    </row>
    <row r="11">
      <c r="A11" s="16" t="inlineStr">
        <is>
          <t>Queen Creek Olive Mill</t>
        </is>
      </c>
      <c r="B11" s="17" t="inlineStr">
        <is>
          <t>Presenting local partner — cash + tasting-experience prize</t>
        </is>
      </c>
      <c r="C11" s="11" t="n">
        <v>2000</v>
      </c>
      <c r="D11" s="11" t="n">
        <v>2000</v>
      </c>
      <c r="E11" s="5">
        <f>D11-C11</f>
        <v/>
      </c>
    </row>
    <row r="12">
      <c r="A12" s="16" t="inlineStr">
        <is>
          <t>Schnepf Farms</t>
        </is>
      </c>
      <c r="B12" s="17" t="inlineStr">
        <is>
          <t>Family day-pass prize package sponsor</t>
        </is>
      </c>
      <c r="C12" s="11" t="n">
        <v>2500</v>
      </c>
      <c r="D12" s="11" t="n">
        <v>2500</v>
      </c>
      <c r="E12" s="5">
        <f>D12-C12</f>
        <v/>
      </c>
    </row>
    <row r="13">
      <c r="A13" s="16" t="inlineStr">
        <is>
          <t>SRP</t>
        </is>
      </c>
      <c r="B13" s="17" t="inlineStr">
        <is>
          <t>Utility community sponsorship</t>
        </is>
      </c>
      <c r="C13" s="11" t="n">
        <v>3000</v>
      </c>
      <c r="D13" s="11" t="n">
        <v>3000</v>
      </c>
      <c r="E13" s="5">
        <f>D13-C13</f>
        <v/>
      </c>
    </row>
    <row r="14">
      <c r="A14" s="16" t="inlineStr">
        <is>
          <t>EPCOR Water</t>
        </is>
      </c>
      <c r="B14" s="17" t="inlineStr">
        <is>
          <t>Utility community sponsorship</t>
        </is>
      </c>
      <c r="C14" s="11" t="n">
        <v>2000</v>
      </c>
      <c r="D14" s="11" t="n">
        <v>2000</v>
      </c>
      <c r="E14" s="5">
        <f>D14-C14</f>
        <v/>
      </c>
    </row>
    <row r="15">
      <c r="A15" s="16" t="inlineStr">
        <is>
          <t>Sossaman Farms / Hayden Flour Mills</t>
        </is>
      </c>
      <c r="B15" s="17" t="inlineStr">
        <is>
          <t>Milling &amp; baking experience prize sponsor</t>
        </is>
      </c>
      <c r="C15" s="11" t="n">
        <v>1500</v>
      </c>
      <c r="D15" s="11" t="n">
        <v>1500</v>
      </c>
      <c r="E15" s="5">
        <f>D15-C15</f>
        <v/>
      </c>
    </row>
    <row r="16">
      <c r="A16" s="16" t="inlineStr">
        <is>
          <t>Pecan Lake Entertainment</t>
        </is>
      </c>
      <c r="B16" s="17" t="inlineStr">
        <is>
          <t>Family activity package sponsor</t>
        </is>
      </c>
      <c r="C16" s="11" t="n">
        <v>1000</v>
      </c>
      <c r="D16" s="11" t="n">
        <v>1200</v>
      </c>
      <c r="E16" s="5">
        <f>D16-C16</f>
        <v/>
      </c>
    </row>
    <row r="17">
      <c r="A17" s="16" t="inlineStr">
        <is>
          <t>San Tan Flat</t>
        </is>
      </c>
      <c r="B17" s="17" t="inlineStr">
        <is>
          <t>Family dinner package sponsor</t>
        </is>
      </c>
      <c r="C17" s="11" t="n">
        <v>1500</v>
      </c>
      <c r="D17" s="11" t="n">
        <v>1500</v>
      </c>
      <c r="E17" s="5">
        <f>D17-C17</f>
        <v/>
      </c>
    </row>
    <row r="18">
      <c r="A18" s="4" t="inlineStr">
        <is>
          <t>Sponsorships Subtotal</t>
        </is>
      </c>
      <c r="C18" s="18">
        <f>SUM(C11:C17)</f>
        <v/>
      </c>
      <c r="D18" s="18">
        <f>SUM(D11:D17)</f>
        <v/>
      </c>
      <c r="E18" s="18">
        <f>SUM(E11:E17)</f>
        <v/>
      </c>
    </row>
    <row r="19"/>
    <row r="20">
      <c r="A20" s="14" t="inlineStr">
        <is>
          <t>REVENUE — Food Vendors</t>
        </is>
      </c>
    </row>
    <row r="21">
      <c r="A21" s="15" t="inlineStr">
        <is>
          <t>Line Item</t>
        </is>
      </c>
      <c r="B21" s="15" t="inlineStr">
        <is>
          <t>Description</t>
        </is>
      </c>
      <c r="C21" s="15" t="inlineStr">
        <is>
          <t>Est. Amount</t>
        </is>
      </c>
      <c r="D21" s="15" t="inlineStr">
        <is>
          <t>Actual Amount</t>
        </is>
      </c>
      <c r="E21" s="15" t="inlineStr">
        <is>
          <t>Variance</t>
        </is>
      </c>
    </row>
    <row r="22">
      <c r="A22" s="16" t="inlineStr">
        <is>
          <t>Dawn Breakers: Coffee and Boba</t>
        </is>
      </c>
      <c r="B22" s="17" t="inlineStr">
        <is>
          <t>Food Truck — booth fee</t>
        </is>
      </c>
      <c r="C22" s="11" t="n">
        <v>125</v>
      </c>
      <c r="D22" s="11" t="n">
        <v>125</v>
      </c>
      <c r="E22" s="5">
        <f>D22-C22</f>
        <v/>
      </c>
    </row>
    <row r="23">
      <c r="A23" s="16" t="inlineStr">
        <is>
          <t>San Tan Sweets Bakery</t>
        </is>
      </c>
      <c r="B23" s="17" t="inlineStr">
        <is>
          <t>Food Booth — booth fee</t>
        </is>
      </c>
      <c r="C23" s="11" t="n">
        <v>100</v>
      </c>
      <c r="D23" s="11" t="n">
        <v>100</v>
      </c>
      <c r="E23" s="5">
        <f>D23-C23</f>
        <v/>
      </c>
    </row>
    <row r="24">
      <c r="A24" s="16" t="inlineStr">
        <is>
          <t>Copper State BBQ</t>
        </is>
      </c>
      <c r="B24" s="17" t="inlineStr">
        <is>
          <t>Food Truck — booth fee</t>
        </is>
      </c>
      <c r="C24" s="11" t="n">
        <v>125</v>
      </c>
      <c r="D24" s="11" t="n">
        <v>125</v>
      </c>
      <c r="E24" s="5">
        <f>D24-C24</f>
        <v/>
      </c>
    </row>
    <row r="25">
      <c r="A25" s="16" t="inlineStr">
        <is>
          <t>Desert Ridge Snow Cones</t>
        </is>
      </c>
      <c r="B25" s="17" t="inlineStr">
        <is>
          <t>Food Truck — booth fee</t>
        </is>
      </c>
      <c r="C25" s="11" t="n">
        <v>100</v>
      </c>
      <c r="D25" s="11" t="n">
        <v>100</v>
      </c>
      <c r="E25" s="5">
        <f>D25-C25</f>
        <v/>
      </c>
    </row>
    <row r="26">
      <c r="A26" s="16" t="inlineStr">
        <is>
          <t>Queen Creek Kettle Corn Co.</t>
        </is>
      </c>
      <c r="B26" s="17" t="inlineStr">
        <is>
          <t>Food Booth — booth fee</t>
        </is>
      </c>
      <c r="C26" s="11" t="n">
        <v>75</v>
      </c>
      <c r="D26" s="11" t="n">
        <v>75</v>
      </c>
      <c r="E26" s="5">
        <f>D26-C26</f>
        <v/>
      </c>
    </row>
    <row r="27">
      <c r="A27" s="16" t="inlineStr">
        <is>
          <t>Sonoran Dog House</t>
        </is>
      </c>
      <c r="B27" s="17" t="inlineStr">
        <is>
          <t>Food Truck — booth fee</t>
        </is>
      </c>
      <c r="C27" s="11" t="n">
        <v>125</v>
      </c>
      <c r="D27" s="11" t="n">
        <v>125</v>
      </c>
      <c r="E27" s="5">
        <f>D27-C27</f>
        <v/>
      </c>
    </row>
    <row r="28">
      <c r="A28" s="16" t="inlineStr">
        <is>
          <t>Mesquite Grill Food Truck</t>
        </is>
      </c>
      <c r="B28" s="17" t="inlineStr">
        <is>
          <t>Food Truck — booth fee</t>
        </is>
      </c>
      <c r="C28" s="11" t="n">
        <v>125</v>
      </c>
      <c r="D28" s="11" t="n">
        <v>125</v>
      </c>
      <c r="E28" s="5">
        <f>D28-C28</f>
        <v/>
      </c>
    </row>
    <row r="29">
      <c r="A29" s="16" t="inlineStr">
        <is>
          <t>Frosty Paletas</t>
        </is>
      </c>
      <c r="B29" s="17" t="inlineStr">
        <is>
          <t>Food Truck — booth fee</t>
        </is>
      </c>
      <c r="C29" s="11" t="n">
        <v>100</v>
      </c>
      <c r="D29" s="11" t="n">
        <v>100</v>
      </c>
      <c r="E29" s="5">
        <f>D29-C29</f>
        <v/>
      </c>
    </row>
    <row r="30">
      <c r="A30" s="16" t="inlineStr">
        <is>
          <t>Cactus Flower Lemonade</t>
        </is>
      </c>
      <c r="B30" s="17" t="inlineStr">
        <is>
          <t>Food Booth — booth fee</t>
        </is>
      </c>
      <c r="C30" s="11" t="n">
        <v>75</v>
      </c>
      <c r="D30" s="11" t="n">
        <v>75</v>
      </c>
      <c r="E30" s="5">
        <f>D30-C30</f>
        <v/>
      </c>
    </row>
    <row r="31">
      <c r="A31" s="16" t="inlineStr">
        <is>
          <t>Family Bakery of Queen Creek</t>
        </is>
      </c>
      <c r="B31" s="17" t="inlineStr">
        <is>
          <t>Food Booth — booth fee (upgraded to truck spot)</t>
        </is>
      </c>
      <c r="C31" s="11" t="n">
        <v>100</v>
      </c>
      <c r="D31" s="11" t="n">
        <v>125</v>
      </c>
      <c r="E31" s="5">
        <f>D31-C31</f>
        <v/>
      </c>
    </row>
    <row r="32">
      <c r="A32" s="16" t="inlineStr">
        <is>
          <t>Loaded Nacho Co.</t>
        </is>
      </c>
      <c r="B32" s="17" t="inlineStr">
        <is>
          <t>Food Truck — booth fee</t>
        </is>
      </c>
      <c r="C32" s="11" t="n">
        <v>125</v>
      </c>
      <c r="D32" s="11" t="n">
        <v>125</v>
      </c>
      <c r="E32" s="5">
        <f>D32-C32</f>
        <v/>
      </c>
    </row>
    <row r="33">
      <c r="A33" s="16" t="inlineStr">
        <is>
          <t>Southwest Churro Cart</t>
        </is>
      </c>
      <c r="B33" s="17" t="inlineStr">
        <is>
          <t>Food Truck — booth fee</t>
        </is>
      </c>
      <c r="C33" s="11" t="n">
        <v>100</v>
      </c>
      <c r="D33" s="11" t="n">
        <v>100</v>
      </c>
      <c r="E33" s="5">
        <f>D33-C33</f>
        <v/>
      </c>
    </row>
    <row r="34">
      <c r="A34" s="16" t="inlineStr">
        <is>
          <t>Java Ranch Coffee</t>
        </is>
      </c>
      <c r="B34" s="17" t="inlineStr">
        <is>
          <t>Food Truck — booth fee</t>
        </is>
      </c>
      <c r="C34" s="11" t="n">
        <v>125</v>
      </c>
      <c r="D34" s="11" t="n">
        <v>125</v>
      </c>
      <c r="E34" s="5">
        <f>D34-C34</f>
        <v/>
      </c>
    </row>
    <row r="35">
      <c r="A35" s="16" t="inlineStr">
        <is>
          <t>Sweet Treats Ice Cream</t>
        </is>
      </c>
      <c r="B35" s="17" t="inlineStr">
        <is>
          <t>Food Booth — booth fee</t>
        </is>
      </c>
      <c r="C35" s="11" t="n">
        <v>75</v>
      </c>
      <c r="D35" s="11" t="n">
        <v>75</v>
      </c>
      <c r="E35" s="5">
        <f>D35-C35</f>
        <v/>
      </c>
    </row>
    <row r="36">
      <c r="A36" s="4" t="inlineStr">
        <is>
          <t>Food Vendors Subtotal</t>
        </is>
      </c>
      <c r="C36" s="18">
        <f>SUM(C22:C35)</f>
        <v/>
      </c>
      <c r="D36" s="18">
        <f>SUM(D22:D35)</f>
        <v/>
      </c>
      <c r="E36" s="18">
        <f>SUM(E22:E35)</f>
        <v/>
      </c>
    </row>
    <row r="37"/>
    <row r="38">
      <c r="A38" s="14" t="inlineStr">
        <is>
          <t>REVENUE — Non-Profits</t>
        </is>
      </c>
    </row>
    <row r="39">
      <c r="A39" s="15" t="inlineStr">
        <is>
          <t>Line Item</t>
        </is>
      </c>
      <c r="B39" s="15" t="inlineStr">
        <is>
          <t>Description</t>
        </is>
      </c>
      <c r="C39" s="15" t="inlineStr">
        <is>
          <t>Est. Amount</t>
        </is>
      </c>
      <c r="D39" s="15" t="inlineStr">
        <is>
          <t>Actual Amount</t>
        </is>
      </c>
      <c r="E39" s="15" t="inlineStr">
        <is>
          <t>Variance</t>
        </is>
      </c>
    </row>
    <row r="40">
      <c r="A40" s="16" t="inlineStr">
        <is>
          <t>QCUSD Foundation</t>
        </is>
      </c>
      <c r="B40" s="17" t="inlineStr">
        <is>
          <t>Comped community booth per Town policy</t>
        </is>
      </c>
      <c r="C40" s="11" t="n">
        <v>0</v>
      </c>
      <c r="D40" s="11" t="n">
        <v>0</v>
      </c>
      <c r="E40" s="5">
        <f>D40-C40</f>
        <v/>
      </c>
    </row>
    <row r="41">
      <c r="A41" s="16" t="inlineStr">
        <is>
          <t>Combs High School Booster Club</t>
        </is>
      </c>
      <c r="B41" s="17" t="inlineStr">
        <is>
          <t>Discounted non-profit booth fee</t>
        </is>
      </c>
      <c r="C41" s="11" t="n">
        <v>50</v>
      </c>
      <c r="D41" s="11" t="n">
        <v>50</v>
      </c>
      <c r="E41" s="5">
        <f>D41-C41</f>
        <v/>
      </c>
    </row>
    <row r="42">
      <c r="A42" s="4" t="inlineStr">
        <is>
          <t>Non-Profits Subtotal</t>
        </is>
      </c>
      <c r="C42" s="18">
        <f>SUM(C40:C41)</f>
        <v/>
      </c>
      <c r="D42" s="18">
        <f>SUM(D40:D41)</f>
        <v/>
      </c>
      <c r="E42" s="18">
        <f>SUM(E40:E41)</f>
        <v/>
      </c>
    </row>
    <row r="43"/>
    <row r="44">
      <c r="A44" s="7" t="inlineStr">
        <is>
          <t>TOTAL REVENUE</t>
        </is>
      </c>
      <c r="B44" s="19" t="n"/>
      <c r="C44" s="20">
        <f>C7+C18+C36+C42</f>
        <v/>
      </c>
      <c r="D44" s="20">
        <f>D7+D18+D36+D42</f>
        <v/>
      </c>
      <c r="E44" s="20">
        <f>E7+E18+E36+E42</f>
        <v/>
      </c>
    </row>
    <row r="45"/>
    <row r="46">
      <c r="A46" s="14" t="inlineStr">
        <is>
          <t>EXPENSES — Labor Distribution</t>
        </is>
      </c>
    </row>
    <row r="47">
      <c r="A47" s="15" t="inlineStr">
        <is>
          <t>Line Item</t>
        </is>
      </c>
      <c r="B47" s="15" t="inlineStr">
        <is>
          <t>Description</t>
        </is>
      </c>
      <c r="C47" s="15" t="inlineStr">
        <is>
          <t>Est. Amount</t>
        </is>
      </c>
      <c r="D47" s="15" t="inlineStr">
        <is>
          <t>Actual Amount</t>
        </is>
      </c>
      <c r="E47" s="15" t="inlineStr">
        <is>
          <t>Variance</t>
        </is>
      </c>
    </row>
    <row r="48">
      <c r="A48" s="16" t="inlineStr">
        <is>
          <t>Part-Time Staff — Recreation Aides</t>
        </is>
      </c>
      <c r="B48" s="17" t="inlineStr">
        <is>
          <t>60 hrs x $15.75/hr</t>
        </is>
      </c>
      <c r="C48" s="12" t="n">
        <v>945</v>
      </c>
      <c r="D48" s="12" t="n">
        <v>945</v>
      </c>
      <c r="E48" s="6">
        <f>D48-C48</f>
        <v/>
      </c>
    </row>
    <row r="49">
      <c r="A49" s="16" t="inlineStr">
        <is>
          <t>Part-Time Staff — Recreation Instructors/Specialists</t>
        </is>
      </c>
      <c r="B49" s="17" t="inlineStr">
        <is>
          <t>40 hrs x $24.00/hr</t>
        </is>
      </c>
      <c r="C49" s="12" t="n">
        <v>960</v>
      </c>
      <c r="D49" s="12" t="n">
        <v>960</v>
      </c>
      <c r="E49" s="6">
        <f>D49-C49</f>
        <v/>
      </c>
    </row>
    <row r="50">
      <c r="A50" s="16" t="inlineStr">
        <is>
          <t>Part-Time Staff — Trainees</t>
        </is>
      </c>
      <c r="B50" s="17" t="inlineStr">
        <is>
          <t>50 hrs x $15.15/hr</t>
        </is>
      </c>
      <c r="C50" s="12" t="n">
        <v>757.5</v>
      </c>
      <c r="D50" s="12" t="n">
        <v>757.5</v>
      </c>
      <c r="E50" s="6">
        <f>D50-C50</f>
        <v/>
      </c>
    </row>
    <row r="51">
      <c r="A51" s="16" t="inlineStr">
        <is>
          <t>Part-Time Staff — Security</t>
        </is>
      </c>
      <c r="B51" s="17" t="inlineStr">
        <is>
          <t>60 hrs x $18.00/hr</t>
        </is>
      </c>
      <c r="C51" s="12" t="n">
        <v>1080</v>
      </c>
      <c r="D51" s="12" t="n">
        <v>1080</v>
      </c>
      <c r="E51" s="6">
        <f>D51-C51</f>
        <v/>
      </c>
    </row>
    <row r="52">
      <c r="A52" s="16" t="inlineStr">
        <is>
          <t>Queen Creek High School Booster Club</t>
        </is>
      </c>
      <c r="B52" s="17" t="inlineStr">
        <is>
          <t>In-kind: event-day setup crew</t>
        </is>
      </c>
      <c r="C52" s="12" t="n">
        <v>500</v>
      </c>
      <c r="D52" s="12" t="n">
        <v>500</v>
      </c>
      <c r="E52" s="6">
        <f>D52-C52</f>
        <v/>
      </c>
    </row>
    <row r="53">
      <c r="A53" s="16" t="inlineStr">
        <is>
          <t>Combs High School Drama Club</t>
        </is>
      </c>
      <c r="B53" s="17" t="inlineStr">
        <is>
          <t>In-kind: decoration &amp; activation</t>
        </is>
      </c>
      <c r="C53" s="12" t="n">
        <v>500</v>
      </c>
      <c r="D53" s="12" t="n">
        <v>500</v>
      </c>
      <c r="E53" s="6">
        <f>D53-C53</f>
        <v/>
      </c>
    </row>
    <row r="54">
      <c r="A54" s="4" t="inlineStr">
        <is>
          <t>Labor Distribution Subtotal</t>
        </is>
      </c>
      <c r="C54" s="21">
        <f>SUM(C48:C53)</f>
        <v/>
      </c>
      <c r="D54" s="21">
        <f>SUM(D48:D53)</f>
        <v/>
      </c>
      <c r="E54" s="21">
        <f>SUM(E48:E53)</f>
        <v/>
      </c>
    </row>
    <row r="55"/>
    <row r="56">
      <c r="A56" s="14" t="inlineStr">
        <is>
          <t>EXPENSES — Equipment/Supplies</t>
        </is>
      </c>
    </row>
    <row r="57">
      <c r="A57" s="15" t="inlineStr">
        <is>
          <t>Line Item</t>
        </is>
      </c>
      <c r="B57" s="15" t="inlineStr">
        <is>
          <t>Description</t>
        </is>
      </c>
      <c r="C57" s="15" t="inlineStr">
        <is>
          <t>Est. Amount</t>
        </is>
      </c>
      <c r="D57" s="15" t="inlineStr">
        <is>
          <t>Actual Amount</t>
        </is>
      </c>
      <c r="E57" s="15" t="inlineStr">
        <is>
          <t>Variance</t>
        </is>
      </c>
    </row>
    <row r="58">
      <c r="A58" s="16" t="inlineStr">
        <is>
          <t>Desert Sound &amp; Stage</t>
        </is>
      </c>
      <c r="B58" s="17" t="inlineStr">
        <is>
          <t>Main stage audio, lighting &amp; backline rental</t>
        </is>
      </c>
      <c r="C58" s="12" t="n">
        <v>2200</v>
      </c>
      <c r="D58" s="12" t="n">
        <v>2350</v>
      </c>
      <c r="E58" s="6">
        <f>D58-C58</f>
        <v/>
      </c>
    </row>
    <row r="59">
      <c r="A59" s="4" t="inlineStr">
        <is>
          <t>Equipment/Supplies Subtotal</t>
        </is>
      </c>
      <c r="C59" s="21">
        <f>SUM(C58:C58)</f>
        <v/>
      </c>
      <c r="D59" s="21">
        <f>SUM(D58:D58)</f>
        <v/>
      </c>
      <c r="E59" s="21">
        <f>SUM(E58:E58)</f>
        <v/>
      </c>
    </row>
    <row r="60"/>
    <row r="61">
      <c r="A61" s="14" t="inlineStr">
        <is>
          <t>EXPENSES — Entertainment/Activities</t>
        </is>
      </c>
    </row>
    <row r="62">
      <c r="A62" s="15" t="inlineStr">
        <is>
          <t>Line Item</t>
        </is>
      </c>
      <c r="B62" s="15" t="inlineStr">
        <is>
          <t>Description</t>
        </is>
      </c>
      <c r="C62" s="15" t="inlineStr">
        <is>
          <t>Est. Amount</t>
        </is>
      </c>
      <c r="D62" s="15" t="inlineStr">
        <is>
          <t>Actual Amount</t>
        </is>
      </c>
      <c r="E62" s="15" t="inlineStr">
        <is>
          <t>Variance</t>
        </is>
      </c>
    </row>
    <row r="63">
      <c r="A63" s="16" t="inlineStr">
        <is>
          <t>Egg Hunt Supplies</t>
        </is>
      </c>
      <c r="B63" s="17" t="inlineStr">
        <is>
          <t>12,000 plastic eggs + Golden Ticket / Silver Egg prize inserts</t>
        </is>
      </c>
      <c r="C63" s="12" t="n">
        <v>1440</v>
      </c>
      <c r="D63" s="12" t="n">
        <v>1500</v>
      </c>
      <c r="E63" s="6">
        <f>D63-C63</f>
        <v/>
      </c>
    </row>
    <row r="64">
      <c r="A64" s="16" t="inlineStr">
        <is>
          <t>Easter Bunny Appearance</t>
        </is>
      </c>
      <c r="B64" s="17" t="inlineStr">
        <is>
          <t>Costume &amp; appearance fee</t>
        </is>
      </c>
      <c r="C64" s="12" t="n">
        <v>600</v>
      </c>
      <c r="D64" s="12" t="n">
        <v>600</v>
      </c>
      <c r="E64" s="6">
        <f>D64-C64</f>
        <v/>
      </c>
    </row>
    <row r="65">
      <c r="A65" s="16" t="inlineStr">
        <is>
          <t>Fast &amp; Furriest Animal Races</t>
        </is>
      </c>
      <c r="B65" s="17" t="inlineStr">
        <is>
          <t>Chick, bunny &amp; tortoise rental + handlers, 3-hr minimum</t>
        </is>
      </c>
      <c r="C65" s="12" t="n">
        <v>1695</v>
      </c>
      <c r="D65" s="12" t="n">
        <v>1695</v>
      </c>
      <c r="E65" s="6">
        <f>D65-C65</f>
        <v/>
      </c>
    </row>
    <row r="66">
      <c r="A66" s="16" t="inlineStr">
        <is>
          <t>Play Zone Inflatables</t>
        </is>
      </c>
      <c r="B66" s="17" t="inlineStr">
        <is>
          <t>Bungee run, obstacle course, mega slides</t>
        </is>
      </c>
      <c r="C66" s="12" t="n">
        <v>1800</v>
      </c>
      <c r="D66" s="12" t="n">
        <v>1950</v>
      </c>
      <c r="E66" s="6">
        <f>D66-C66</f>
        <v/>
      </c>
    </row>
    <row r="67">
      <c r="A67" s="16" t="inlineStr">
        <is>
          <t>Tot Spot Bounce House &amp; Soft Play</t>
        </is>
      </c>
      <c r="B67" s="17" t="inlineStr">
        <is>
          <t>Ages 5-and-under play area rental</t>
        </is>
      </c>
      <c r="C67" s="12" t="n">
        <v>350</v>
      </c>
      <c r="D67" s="12" t="n">
        <v>350</v>
      </c>
      <c r="E67" s="6">
        <f>D67-C67</f>
        <v/>
      </c>
    </row>
    <row r="68">
      <c r="A68" s="16" t="inlineStr">
        <is>
          <t>The Great EggScape</t>
        </is>
      </c>
      <c r="B68" s="17" t="inlineStr">
        <is>
          <t>Interactive story-walk props &amp; staging</t>
        </is>
      </c>
      <c r="C68" s="12" t="n">
        <v>1200</v>
      </c>
      <c r="D68" s="12" t="n">
        <v>1150</v>
      </c>
      <c r="E68" s="6">
        <f>D68-C68</f>
        <v/>
      </c>
    </row>
    <row r="69">
      <c r="A69" s="16" t="inlineStr">
        <is>
          <t>Color Blast Supplies</t>
        </is>
      </c>
      <c r="B69" s="17" t="inlineStr">
        <is>
          <t>Splatter-paint experience materials</t>
        </is>
      </c>
      <c r="C69" s="12" t="n">
        <v>900</v>
      </c>
      <c r="D69" s="12" t="n">
        <v>975</v>
      </c>
      <c r="E69" s="6">
        <f>D69-C69</f>
        <v/>
      </c>
    </row>
    <row r="70">
      <c r="A70" s="16" t="inlineStr">
        <is>
          <t>DJ / Emcee Services</t>
        </is>
      </c>
      <c r="B70" s="17" t="inlineStr">
        <is>
          <t>Schedule announcements, race calls, drawing — 4 hrs x $150/hr</t>
        </is>
      </c>
      <c r="C70" s="12" t="n">
        <v>600</v>
      </c>
      <c r="D70" s="12" t="n">
        <v>600</v>
      </c>
      <c r="E70" s="6">
        <f>D70-C70</f>
        <v/>
      </c>
    </row>
    <row r="71">
      <c r="A71" s="16" t="inlineStr">
        <is>
          <t>Face Painting &amp; Balloon Artists</t>
        </is>
      </c>
      <c r="B71" s="17" t="inlineStr">
        <is>
          <t>2 roving artists, 4-hour booking</t>
        </is>
      </c>
      <c r="C71" s="12" t="n">
        <v>700</v>
      </c>
      <c r="D71" s="12" t="n">
        <v>700</v>
      </c>
      <c r="E71" s="6">
        <f>D71-C71</f>
        <v/>
      </c>
    </row>
    <row r="72">
      <c r="A72" s="16" t="inlineStr">
        <is>
          <t>Photo Backdrop &amp; Prop Rental</t>
        </is>
      </c>
      <c r="B72" s="17" t="inlineStr">
        <is>
          <t>Post-hunt photo-op backdrop</t>
        </is>
      </c>
      <c r="C72" s="12" t="n">
        <v>500</v>
      </c>
      <c r="D72" s="12" t="n">
        <v>525</v>
      </c>
      <c r="E72" s="6">
        <f>D72-C72</f>
        <v/>
      </c>
    </row>
    <row r="73">
      <c r="A73" s="4" t="inlineStr">
        <is>
          <t>Entertainment/Activities Subtotal</t>
        </is>
      </c>
      <c r="C73" s="21">
        <f>SUM(C63:C72)</f>
        <v/>
      </c>
      <c r="D73" s="21">
        <f>SUM(D63:D72)</f>
        <v/>
      </c>
      <c r="E73" s="21">
        <f>SUM(E63:E72)</f>
        <v/>
      </c>
    </row>
    <row r="74"/>
    <row r="75">
      <c r="A75" s="14" t="inlineStr">
        <is>
          <t>EXPENSES — Marketing</t>
        </is>
      </c>
    </row>
    <row r="76">
      <c r="A76" s="15" t="inlineStr">
        <is>
          <t>Line Item</t>
        </is>
      </c>
      <c r="B76" s="15" t="inlineStr">
        <is>
          <t>Description</t>
        </is>
      </c>
      <c r="C76" s="15" t="inlineStr">
        <is>
          <t>Est. Amount</t>
        </is>
      </c>
      <c r="D76" s="15" t="inlineStr">
        <is>
          <t>Actual Amount</t>
        </is>
      </c>
      <c r="E76" s="15" t="inlineStr">
        <is>
          <t>Variance</t>
        </is>
      </c>
    </row>
    <row r="77">
      <c r="A77" s="16" t="inlineStr">
        <is>
          <t>Queen Creek Print Shop</t>
        </is>
      </c>
      <c r="B77" s="17" t="inlineStr">
        <is>
          <t>Event flyers (2,000)</t>
        </is>
      </c>
      <c r="C77" s="12" t="n">
        <v>180</v>
      </c>
      <c r="D77" s="12" t="n">
        <v>175</v>
      </c>
      <c r="E77" s="6">
        <f>D77-C77</f>
        <v/>
      </c>
    </row>
    <row r="78">
      <c r="A78" s="16" t="inlineStr">
        <is>
          <t>Queen Creek Print Shop</t>
        </is>
      </c>
      <c r="B78" s="17" t="inlineStr">
        <is>
          <t>Yard signs (25)</t>
        </is>
      </c>
      <c r="C78" s="12" t="n">
        <v>220</v>
      </c>
      <c r="D78" s="12" t="n">
        <v>230</v>
      </c>
      <c r="E78" s="6">
        <f>D78-C78</f>
        <v/>
      </c>
    </row>
    <row r="79">
      <c r="A79" s="16" t="inlineStr">
        <is>
          <t>Queen Creek Print Shop</t>
        </is>
      </c>
      <c r="B79" s="17" t="inlineStr">
        <is>
          <t>Vendor row banners (10)</t>
        </is>
      </c>
      <c r="C79" s="12" t="n">
        <v>350</v>
      </c>
      <c r="D79" s="12" t="n">
        <v>340</v>
      </c>
      <c r="E79" s="6">
        <f>D79-C79</f>
        <v/>
      </c>
    </row>
    <row r="80">
      <c r="A80" s="16" t="inlineStr">
        <is>
          <t>Queen Creek Print Shop</t>
        </is>
      </c>
      <c r="B80" s="17" t="inlineStr">
        <is>
          <t>Sponsor recognition signage</t>
        </is>
      </c>
      <c r="C80" s="12" t="n">
        <v>275</v>
      </c>
      <c r="D80" s="12" t="n">
        <v>290</v>
      </c>
      <c r="E80" s="6">
        <f>D80-C80</f>
        <v/>
      </c>
    </row>
    <row r="81">
      <c r="A81" s="16" t="inlineStr">
        <is>
          <t>Social Media Boost</t>
        </is>
      </c>
      <c r="B81" s="17" t="inlineStr">
        <is>
          <t>Facebook / Instagram promoted posts</t>
        </is>
      </c>
      <c r="C81" s="12" t="n">
        <v>300</v>
      </c>
      <c r="D81" s="12" t="n">
        <v>300</v>
      </c>
      <c r="E81" s="6">
        <f>D81-C81</f>
        <v/>
      </c>
    </row>
    <row r="82">
      <c r="A82" s="16" t="inlineStr">
        <is>
          <t>Queen Creek Independent</t>
        </is>
      </c>
      <c r="B82" s="17" t="inlineStr">
        <is>
          <t>Print advertisement</t>
        </is>
      </c>
      <c r="C82" s="12" t="n">
        <v>250</v>
      </c>
      <c r="D82" s="12" t="n">
        <v>250</v>
      </c>
      <c r="E82" s="6">
        <f>D82-C82</f>
        <v/>
      </c>
    </row>
    <row r="83">
      <c r="A83" s="16" t="inlineStr">
        <is>
          <t>Wristbands &amp; Passport Cards</t>
        </is>
      </c>
      <c r="B83" s="17" t="inlineStr">
        <is>
          <t>3,500 attendee wristbands</t>
        </is>
      </c>
      <c r="C83" s="12" t="n">
        <v>420</v>
      </c>
      <c r="D83" s="12" t="n">
        <v>410</v>
      </c>
      <c r="E83" s="6">
        <f>D83-C83</f>
        <v/>
      </c>
    </row>
    <row r="84">
      <c r="A84" s="16" t="inlineStr">
        <is>
          <t>Site Map &amp; Directional Signage</t>
        </is>
      </c>
      <c r="B84" s="17" t="inlineStr">
        <is>
          <t>Zone signage for the main walkway</t>
        </is>
      </c>
      <c r="C84" s="12" t="n">
        <v>300</v>
      </c>
      <c r="D84" s="12" t="n">
        <v>315</v>
      </c>
      <c r="E84" s="6">
        <f>D84-C84</f>
        <v/>
      </c>
    </row>
    <row r="85">
      <c r="A85" s="4" t="inlineStr">
        <is>
          <t>Marketing Subtotal</t>
        </is>
      </c>
      <c r="C85" s="21">
        <f>SUM(C77:C84)</f>
        <v/>
      </c>
      <c r="D85" s="21">
        <f>SUM(D77:D84)</f>
        <v/>
      </c>
      <c r="E85" s="21">
        <f>SUM(E77:E84)</f>
        <v/>
      </c>
    </row>
    <row r="86"/>
    <row r="87">
      <c r="A87" s="14" t="inlineStr">
        <is>
          <t>EXPENSES — Logistics</t>
        </is>
      </c>
    </row>
    <row r="88">
      <c r="A88" s="15" t="inlineStr">
        <is>
          <t>Line Item</t>
        </is>
      </c>
      <c r="B88" s="15" t="inlineStr">
        <is>
          <t>Description</t>
        </is>
      </c>
      <c r="C88" s="15" t="inlineStr">
        <is>
          <t>Est. Amount</t>
        </is>
      </c>
      <c r="D88" s="15" t="inlineStr">
        <is>
          <t>Actual Amount</t>
        </is>
      </c>
      <c r="E88" s="15" t="inlineStr">
        <is>
          <t>Variance</t>
        </is>
      </c>
    </row>
    <row r="89">
      <c r="A89" s="16" t="inlineStr">
        <is>
          <t>AZ Restroom Solutions</t>
        </is>
      </c>
      <c r="B89" s="17" t="inlineStr">
        <is>
          <t>6 standard units @ ~$150 + 1 ADA trailer @ ~$900</t>
        </is>
      </c>
      <c r="C89" s="12" t="n">
        <v>1800</v>
      </c>
      <c r="D89" s="12" t="n">
        <v>1850</v>
      </c>
      <c r="E89" s="6">
        <f>D89-C89</f>
        <v/>
      </c>
    </row>
    <row r="90">
      <c r="A90" s="16" t="inlineStr">
        <is>
          <t>Bright Lights Generator &amp; Light Tower Rental</t>
        </is>
      </c>
      <c r="B90" s="17" t="inlineStr">
        <is>
          <t>2 light towers @ $150/day + 1 generator @ $120/day</t>
        </is>
      </c>
      <c r="C90" s="12" t="n">
        <v>450</v>
      </c>
      <c r="D90" s="12" t="n">
        <v>450</v>
      </c>
      <c r="E90" s="6">
        <f>D90-C90</f>
        <v/>
      </c>
    </row>
    <row r="91">
      <c r="A91" s="16" t="inlineStr">
        <is>
          <t>Queen Creek PD</t>
        </is>
      </c>
      <c r="B91" s="17" t="inlineStr">
        <is>
          <t>Traffic &amp; security detail — 3 officers x 6 hrs x $75/hr</t>
        </is>
      </c>
      <c r="C91" s="12" t="n">
        <v>1350</v>
      </c>
      <c r="D91" s="12" t="n">
        <v>1350</v>
      </c>
      <c r="E91" s="6">
        <f>D91-C91</f>
        <v/>
      </c>
    </row>
    <row r="92">
      <c r="A92" s="16" t="inlineStr">
        <is>
          <t>Volunteer T-Shirts</t>
        </is>
      </c>
      <c r="B92" s="17" t="inlineStr">
        <is>
          <t>150 shirts @ $6.50</t>
        </is>
      </c>
      <c r="C92" s="12" t="n">
        <v>975</v>
      </c>
      <c r="D92" s="12" t="n">
        <v>975</v>
      </c>
      <c r="E92" s="6">
        <f>D92-C92</f>
        <v/>
      </c>
    </row>
    <row r="93">
      <c r="A93" s="16" t="inlineStr">
        <is>
          <t>Desert Cleaning Co.</t>
        </is>
      </c>
      <c r="B93" s="17" t="inlineStr">
        <is>
          <t>Janitorial services</t>
        </is>
      </c>
      <c r="C93" s="12" t="n">
        <v>650</v>
      </c>
      <c r="D93" s="12" t="n">
        <v>700</v>
      </c>
      <c r="E93" s="6">
        <f>D93-C93</f>
        <v/>
      </c>
    </row>
    <row r="94">
      <c r="A94" s="16" t="inlineStr">
        <is>
          <t>Table &amp; Booth Covers Rental</t>
        </is>
      </c>
      <c r="B94" s="17" t="inlineStr">
        <is>
          <t>Vendor row table covers</t>
        </is>
      </c>
      <c r="C94" s="12" t="n">
        <v>400</v>
      </c>
      <c r="D94" s="12" t="n">
        <v>400</v>
      </c>
      <c r="E94" s="6">
        <f>D94-C94</f>
        <v/>
      </c>
    </row>
    <row r="95">
      <c r="A95" s="16" t="inlineStr">
        <is>
          <t>Waste &amp; Recycling Roll-Off</t>
        </is>
      </c>
      <c r="B95" s="17" t="inlineStr">
        <is>
          <t>Post-event pickup</t>
        </is>
      </c>
      <c r="C95" s="12" t="n">
        <v>550</v>
      </c>
      <c r="D95" s="12" t="n">
        <v>550</v>
      </c>
      <c r="E95" s="6">
        <f>D95-C95</f>
        <v/>
      </c>
    </row>
    <row r="96">
      <c r="A96" s="16" t="inlineStr">
        <is>
          <t>Special Event Liability Insurance</t>
        </is>
      </c>
      <c r="B96" s="17" t="inlineStr">
        <is>
          <t>Required for Town special-event permit</t>
        </is>
      </c>
      <c r="C96" s="12" t="n">
        <v>500</v>
      </c>
      <c r="D96" s="12" t="n">
        <v>500</v>
      </c>
      <c r="E96" s="6">
        <f>D96-C96</f>
        <v/>
      </c>
    </row>
    <row r="97">
      <c r="A97" s="4" t="inlineStr">
        <is>
          <t>Logistics Subtotal</t>
        </is>
      </c>
      <c r="C97" s="21">
        <f>SUM(C89:C96)</f>
        <v/>
      </c>
      <c r="D97" s="21">
        <f>SUM(D89:D96)</f>
        <v/>
      </c>
      <c r="E97" s="21">
        <f>SUM(E89:E96)</f>
        <v/>
      </c>
    </row>
    <row r="98"/>
    <row r="99">
      <c r="A99" s="14" t="inlineStr">
        <is>
          <t>EXPENSES — Misc.</t>
        </is>
      </c>
    </row>
    <row r="100">
      <c r="A100" s="15" t="inlineStr">
        <is>
          <t>Line Item</t>
        </is>
      </c>
      <c r="B100" s="15" t="inlineStr">
        <is>
          <t>Description</t>
        </is>
      </c>
      <c r="C100" s="15" t="inlineStr">
        <is>
          <t>Est. Amount</t>
        </is>
      </c>
      <c r="D100" s="15" t="inlineStr">
        <is>
          <t>Actual Amount</t>
        </is>
      </c>
      <c r="E100" s="15" t="inlineStr">
        <is>
          <t>Variance</t>
        </is>
      </c>
    </row>
    <row r="101">
      <c r="A101" s="16" t="inlineStr">
        <is>
          <t>San Tan Flat</t>
        </is>
      </c>
      <c r="B101" s="17" t="inlineStr">
        <is>
          <t>Volunteer &amp; staff lunch catering</t>
        </is>
      </c>
      <c r="C101" s="12" t="n">
        <v>450</v>
      </c>
      <c r="D101" s="12" t="n">
        <v>450</v>
      </c>
      <c r="E101" s="6">
        <f>D101-C101</f>
        <v/>
      </c>
    </row>
    <row r="102">
      <c r="A102" s="16" t="inlineStr">
        <is>
          <t>Costco</t>
        </is>
      </c>
      <c r="B102" s="17" t="inlineStr">
        <is>
          <t>Snacks &amp; water for volunteers</t>
        </is>
      </c>
      <c r="C102" s="12" t="n">
        <v>300</v>
      </c>
      <c r="D102" s="12" t="n">
        <v>325</v>
      </c>
      <c r="E102" s="6">
        <f>D102-C102</f>
        <v/>
      </c>
    </row>
    <row r="103">
      <c r="A103" s="16" t="inlineStr">
        <is>
          <t>Home Depot</t>
        </is>
      </c>
      <c r="B103" s="17" t="inlineStr">
        <is>
          <t>Tarps &amp; field-prep supplies</t>
        </is>
      </c>
      <c r="C103" s="12" t="n">
        <v>250</v>
      </c>
      <c r="D103" s="12" t="n">
        <v>260</v>
      </c>
      <c r="E103" s="6">
        <f>D103-C103</f>
        <v/>
      </c>
    </row>
    <row r="104">
      <c r="A104" s="16" t="inlineStr">
        <is>
          <t>First Aid &amp; Safety Supplies</t>
        </is>
      </c>
      <c r="B104" s="17" t="inlineStr">
        <is>
          <t>Restock first-aid station</t>
        </is>
      </c>
      <c r="C104" s="12" t="n">
        <v>200</v>
      </c>
      <c r="D104" s="12" t="n">
        <v>200</v>
      </c>
      <c r="E104" s="6">
        <f>D104-C104</f>
        <v/>
      </c>
    </row>
    <row r="105">
      <c r="A105" s="16" t="inlineStr">
        <is>
          <t>Contingency / Miscellaneous</t>
        </is>
      </c>
      <c r="B105" s="17" t="inlineStr">
        <is>
          <t>Unbudgeted day-of items</t>
        </is>
      </c>
      <c r="C105" s="12" t="n">
        <v>500</v>
      </c>
      <c r="D105" s="12" t="n">
        <v>410</v>
      </c>
      <c r="E105" s="6">
        <f>D105-C105</f>
        <v/>
      </c>
    </row>
    <row r="106">
      <c r="A106" s="4" t="inlineStr">
        <is>
          <t>Misc. Subtotal</t>
        </is>
      </c>
      <c r="C106" s="21">
        <f>SUM(C101:C105)</f>
        <v/>
      </c>
      <c r="D106" s="21">
        <f>SUM(D101:D105)</f>
        <v/>
      </c>
      <c r="E106" s="21">
        <f>SUM(E101:E105)</f>
        <v/>
      </c>
    </row>
    <row r="107"/>
    <row r="108">
      <c r="A108" s="7" t="inlineStr">
        <is>
          <t>TOTAL EXPENSES</t>
        </is>
      </c>
      <c r="B108" s="19" t="n"/>
      <c r="C108" s="22">
        <f>C54+C59+C73+C85+C97+C106</f>
        <v/>
      </c>
      <c r="D108" s="22">
        <f>D54+D59+D73+D85+D97+D106</f>
        <v/>
      </c>
      <c r="E108" s="22">
        <f>E54+E59+E73+E85+E97+E106</f>
        <v/>
      </c>
    </row>
    <row r="109"/>
    <row r="110">
      <c r="A110" s="23" t="inlineStr">
        <is>
          <t>OVER / (UNDER) — BUDGET IMPACT</t>
        </is>
      </c>
      <c r="B110" s="24" t="n"/>
      <c r="C110" s="25">
        <f>C44-C108</f>
        <v/>
      </c>
      <c r="D110" s="25">
        <f>D44-D108</f>
        <v/>
      </c>
      <c r="E110" s="25">
        <f>E44-E108</f>
        <v/>
      </c>
    </row>
    <row r="111"/>
    <row r="112" ht="30" customHeight="1">
      <c r="A112" s="13" t="inlineStr">
        <is>
          <t>A negative Over/Under is expected for a free community event — sponsorships and vendor fees are designed to offset cost, not fully cover it. The remainder is the Town's General Fund contribution to Spring into Queen Creek. See the Sources tab for citations behind each sourced line item.</t>
        </is>
      </c>
    </row>
  </sheetData>
  <mergeCells count="13">
    <mergeCell ref="A87:E87"/>
    <mergeCell ref="A4:E4"/>
    <mergeCell ref="A20:E20"/>
    <mergeCell ref="A38:E38"/>
    <mergeCell ref="A2:E2"/>
    <mergeCell ref="A112:E112"/>
    <mergeCell ref="A99:E99"/>
    <mergeCell ref="A1:E1"/>
    <mergeCell ref="A46:E46"/>
    <mergeCell ref="A75:E75"/>
    <mergeCell ref="A61:E61"/>
    <mergeCell ref="A56:E56"/>
    <mergeCell ref="A9:E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28" customWidth="1" min="1" max="1"/>
    <col width="46" customWidth="1" min="2" max="2"/>
    <col width="55" customWidth="1" min="3" max="3"/>
  </cols>
  <sheetData>
    <row r="1" ht="28" customHeight="1">
      <c r="A1" s="1" t="inlineStr">
        <is>
          <t>Sources — Spring into Queen Creek Budget</t>
        </is>
      </c>
    </row>
    <row r="2">
      <c r="A2" s="2" t="inlineStr">
        <is>
          <t>Compiled 2026-07-12 — verify rates before relying on them for a live contract</t>
        </is>
      </c>
    </row>
    <row r="4">
      <c r="A4" s="3" t="inlineStr">
        <is>
          <t>Used For</t>
        </is>
      </c>
      <c r="B4" s="3" t="inlineStr">
        <is>
          <t>Finding</t>
        </is>
      </c>
      <c r="C4" s="3" t="inlineStr">
        <is>
          <t>Source</t>
        </is>
      </c>
    </row>
    <row r="5">
      <c r="A5" s="17" t="inlineStr">
        <is>
          <t>Food vendor booth fees</t>
        </is>
      </c>
      <c r="B5" s="17" t="inlineStr">
        <is>
          <t>Booth fees $75-$125 depending on vendor type</t>
        </is>
      </c>
      <c r="C5" s="17" t="inlineStr">
        <is>
          <t>Town of Queen Creek 'Seeking Vendors for Spring Events' news release — queencreekaz.gov</t>
        </is>
      </c>
    </row>
    <row r="6">
      <c r="A6" s="17" t="inlineStr">
        <is>
          <t>Recreation Aide part-time wage</t>
        </is>
      </c>
      <c r="B6" s="17" t="inlineStr">
        <is>
          <t>$15.75/hr, Part-Time/Seasonal</t>
        </is>
      </c>
      <c r="C6" s="17" t="inlineStr">
        <is>
          <t>Town of Queen Creek job posting, governmentjobs.com/careers/queencreek</t>
        </is>
      </c>
    </row>
    <row r="7">
      <c r="A7" s="17" t="inlineStr">
        <is>
          <t>Recreation Instructor part-time wage</t>
        </is>
      </c>
      <c r="B7" s="17" t="inlineStr">
        <is>
          <t>$20.57-$28.79/hr range; midpoint ($24.00) used in Labor Distribution</t>
        </is>
      </c>
      <c r="C7" s="17" t="inlineStr">
        <is>
          <t>Town of Queen Creek job posting, governmentjobs.com/careers/queencreek</t>
        </is>
      </c>
    </row>
    <row r="8">
      <c r="A8" s="17" t="inlineStr">
        <is>
          <t>Trainee wage floor</t>
        </is>
      </c>
      <c r="B8" s="17" t="inlineStr">
        <is>
          <t>Arizona state minimum wage $15.15/hr, effective 1/1/2026</t>
        </is>
      </c>
      <c r="C8" s="17" t="inlineStr">
        <is>
          <t>Arizona Industrial Commission — azica.gov, 2026 Minimum Wage notice</t>
        </is>
      </c>
    </row>
    <row r="9">
      <c r="A9" s="17" t="inlineStr">
        <is>
          <t>Off-duty / extra-duty officer rate</t>
        </is>
      </c>
      <c r="B9" s="17" t="inlineStr">
        <is>
          <t>Typical range $40-$100/hr depending on city and agency</t>
        </is>
      </c>
      <c r="C9" s="17" t="inlineStr">
        <is>
          <t>ZipRecruiter AZ off-duty officer listings; Law Enforcement Specialists Inc. pricing page (offdutypoliceofficers.com)</t>
        </is>
      </c>
    </row>
    <row r="10">
      <c r="A10" s="17" t="inlineStr">
        <is>
          <t>Portable restroom rental</t>
        </is>
      </c>
      <c r="B10" s="17" t="inlineStr">
        <is>
          <t>Standard unit $100-$250/unit/weekend (Phoenix metro); ADA/luxury trailer from ~$800/weekend</t>
        </is>
      </c>
      <c r="C10" s="17" t="inlineStr">
        <is>
          <t>Canyon State Waste (canyonstatewaste.com); Arizona Portables (arizonaportables.com)</t>
        </is>
      </c>
    </row>
    <row r="11">
      <c r="A11" s="17" t="inlineStr">
        <is>
          <t>Inflatable / bounce house rental</t>
        </is>
      </c>
      <c r="B11" s="17" t="inlineStr">
        <is>
          <t>Basic unit $250-$400/day; obstacle course &amp; combo units $500-$2,500/day</t>
        </is>
      </c>
      <c r="C11" s="17" t="inlineStr">
        <is>
          <t>AZ Bounce Pro, Bounce Then Slide AZ, AZ Inflatable Events (Phoenix-metro vendors)</t>
        </is>
      </c>
    </row>
    <row r="12">
      <c r="A12" s="17" t="inlineStr">
        <is>
          <t>Generator &amp; light tower rental</t>
        </is>
      </c>
      <c r="B12" s="17" t="inlineStr">
        <is>
          <t>Light tower $75-$300/day; mid-range generator $80-$150/day</t>
        </is>
      </c>
      <c r="C12" s="17" t="inlineStr">
        <is>
          <t>RentalHawk (rentalhawk.com); RNTR generator rental cost guide (rntr.com)</t>
        </is>
      </c>
    </row>
    <row r="13">
      <c r="A13" s="17" t="inlineStr">
        <is>
          <t>Petting zoo / Easter animal rental</t>
        </is>
      </c>
      <c r="B13" s="17" t="inlineStr">
        <is>
          <t>Special Easter Petting Zoo package from $1,695, 3-hr minimum</t>
        </is>
      </c>
      <c r="C13" s="17" t="inlineStr">
        <is>
          <t>A Child's Joy, Laveen AZ — achildsjoy.net</t>
        </is>
      </c>
    </row>
    <row r="14">
      <c r="A14" s="17" t="inlineStr">
        <is>
          <t>Event DJ / emcee rate</t>
        </is>
      </c>
      <c r="B14" s="17" t="inlineStr">
        <is>
          <t>Typical range $100-$250/hr, avg ~$115/hr</t>
        </is>
      </c>
      <c r="C14" s="17" t="inlineStr">
        <is>
          <t>The Bash (thebash.com); Bark.com DJ pricing guide</t>
        </is>
      </c>
    </row>
    <row r="15">
      <c r="A15" s="17" t="inlineStr">
        <is>
          <t>Bulk t-shirt printing</t>
        </is>
      </c>
      <c r="B15" s="17" t="inlineStr">
        <is>
          <t>$5-$8/shirt at 100+ quantity, 1-color screen print</t>
        </is>
      </c>
      <c r="C15" s="17" t="inlineStr">
        <is>
          <t>ooShirts (ooshirts.com); 4imprint bulk pricing FAQ</t>
        </is>
      </c>
    </row>
    <row r="16">
      <c r="A16" s="17" t="inlineStr">
        <is>
          <t>Vinyl banner printing</t>
        </is>
      </c>
      <c r="B16" s="17" t="inlineStr">
        <is>
          <t>$3-$8 per sq. ft.; cross-check against Mesa reference invoice line items</t>
        </is>
      </c>
      <c r="C16" s="17" t="inlineStr">
        <is>
          <t>Signs.com banner pricing guide; UPrinting banner cost page</t>
        </is>
      </c>
    </row>
    <row r="17">
      <c r="A17" s="17" t="inlineStr">
        <is>
          <t>Special event liability insurance</t>
        </is>
      </c>
      <c r="B17" s="17" t="inlineStr">
        <is>
          <t>~$100-$500 premium depending on attendance; ~$500 for a ~3,000-attendee event</t>
        </is>
      </c>
      <c r="C17" s="17" t="inlineStr">
        <is>
          <t>K&amp;K Insurance special event program (kandkinsurance.com); HowMuch.net special event insurance cost breakdown</t>
        </is>
      </c>
    </row>
    <row r="18">
      <c r="A18" s="17" t="inlineStr">
        <is>
          <t>Sponsorship dollar levels</t>
        </is>
      </c>
      <c r="B18" s="17" t="inlineStr">
        <is>
          <t>Not independently sourced — negotiated sponsorship amounts aren't publicly published</t>
        </is>
      </c>
      <c r="C18" s="17" t="inlineStr">
        <is>
          <t>Planning estimate only; comparable to typical small-business sponsorship of a high-income-community event</t>
        </is>
      </c>
    </row>
    <row r="19">
      <c r="A19" s="17" t="inlineStr">
        <is>
          <t>Marketing, equipment, and misc. line items without a web source</t>
        </is>
      </c>
      <c r="B19" s="17" t="inlineStr">
        <is>
          <t>Not independently sourced</t>
        </is>
      </c>
      <c r="C19" s="17" t="inlineStr">
        <is>
          <t>Reference: comparable line item from the provided Mesa event budget file</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2026-07-12T20:08:10Z</dcterms:created>
  <dcterms:modified xmlns:dcterms="http://purl.org/dc/terms/" xmlns:xsi="http://www.w3.org/2001/XMLSchema-instance" xsi:type="dcterms:W3CDTF">2026-07-12T20:08:10Z</dcterms:modified>
</cp:coreProperties>
</file>